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MAR INVEST" sheetId="1" r:id="rId1"/>
    <sheet name="BASE DO SIMULADOR" sheetId="2" r:id="rId2"/>
  </sheets>
  <calcPr calcId="124519"/>
</workbook>
</file>

<file path=xl/calcChain.xml><?xml version="1.0" encoding="utf-8"?>
<calcChain xmlns="http://schemas.openxmlformats.org/spreadsheetml/2006/main">
  <c r="C42" i="1"/>
  <c r="B42"/>
  <c r="C41"/>
  <c r="B41"/>
  <c r="C40"/>
  <c r="B40"/>
  <c r="C39"/>
  <c r="B38"/>
  <c r="B39"/>
  <c r="C38"/>
  <c r="B29" l="1"/>
  <c r="B24"/>
  <c r="C24" s="1"/>
  <c r="B23"/>
  <c r="C23" s="1"/>
  <c r="B22"/>
  <c r="C22" s="1"/>
  <c r="B21"/>
  <c r="C21" s="1"/>
  <c r="B20"/>
  <c r="C20" s="1"/>
  <c r="B19"/>
  <c r="C19" s="1"/>
  <c r="B12"/>
  <c r="B15" s="1"/>
  <c r="B33" s="1"/>
  <c r="B13"/>
  <c r="B30" s="1"/>
  <c r="B11"/>
  <c r="D58" i="2"/>
  <c r="B58"/>
  <c r="B57"/>
  <c r="B54"/>
  <c r="B55"/>
  <c r="D11"/>
  <c r="C11"/>
  <c r="B11"/>
  <c r="C25" i="1" l="1"/>
  <c r="B32"/>
  <c r="B25"/>
  <c r="B14"/>
  <c r="B34" l="1"/>
  <c r="B31"/>
</calcChain>
</file>

<file path=xl/sharedStrings.xml><?xml version="1.0" encoding="utf-8"?>
<sst xmlns="http://schemas.openxmlformats.org/spreadsheetml/2006/main" count="96" uniqueCount="67">
  <si>
    <t>BASE DO SIMULADOR</t>
  </si>
  <si>
    <t>PERFIS DE INVESTIDOR</t>
  </si>
  <si>
    <t>TIPO DE FUNDO</t>
  </si>
  <si>
    <t>CONSERVADOR</t>
  </si>
  <si>
    <t>MODERADO</t>
  </si>
  <si>
    <t>AGRESSIVO</t>
  </si>
  <si>
    <t>PAPEL</t>
  </si>
  <si>
    <t>HÍBRIDOS</t>
  </si>
  <si>
    <t>FOFs</t>
  </si>
  <si>
    <t>DESENVOLVIMENTO</t>
  </si>
  <si>
    <t>HOTELARIA</t>
  </si>
  <si>
    <t>TOTAL</t>
  </si>
  <si>
    <t>TIJOLO</t>
  </si>
  <si>
    <t>CLASSIFICAÇÃO DAS ESTRATÉGIAS</t>
  </si>
  <si>
    <t>NÍVEL DE EXPOSIÇÃO</t>
  </si>
  <si>
    <t>1 — Menor exposição relativa ao risco</t>
  </si>
  <si>
    <t>2 — Exposição intermediária</t>
  </si>
  <si>
    <t>3 — Maior exposição relativa ao risco</t>
  </si>
  <si>
    <t>CENÁRIOS</t>
  </si>
  <si>
    <t>PRAZO (ANOS)</t>
  </si>
  <si>
    <t>CENÁRIO</t>
  </si>
  <si>
    <t>PRAZO (MESES)</t>
  </si>
  <si>
    <t>CENÁRIO 1</t>
  </si>
  <si>
    <t>CENÁRIO 2</t>
  </si>
  <si>
    <t>CENÁRIO 3</t>
  </si>
  <si>
    <t>CENÁRIO 4</t>
  </si>
  <si>
    <t>CENÁRIO 5</t>
  </si>
  <si>
    <t>PREMISSAS DO SIMULADOR</t>
  </si>
  <si>
    <t>PARÂMETRO</t>
  </si>
  <si>
    <t>VALOR</t>
  </si>
  <si>
    <t>PERCENTUAL SUGERIDO DO SALÁRIO</t>
  </si>
  <si>
    <t>TAXA DE DISTRIBUIÇÃO ESTIMADA</t>
  </si>
  <si>
    <t>PERIODICIDADE DOS APORTES</t>
  </si>
  <si>
    <t>MENSAL</t>
  </si>
  <si>
    <t>NOTAS METODOLÓGICAS</t>
  </si>
  <si>
    <t>Classificação meramente ilustrativa, baseada nas características gerais das estratégias. O risco efetivo depende da composição da carteira, política de investimento, gestão e condições de mercado.</t>
  </si>
  <si>
    <t>As proporções utilizadas nos perfis são parâmetros ilustrativos desenvolvidos exclusivamente para a simulação.</t>
  </si>
  <si>
    <t>RENDIMENTO DA CARTEIRA</t>
  </si>
  <si>
    <t>ÁREA DE CÁLCULOS</t>
  </si>
  <si>
    <t>INVESTIMENTO MENSAL</t>
  </si>
  <si>
    <t>PRAZO EM ANOS</t>
  </si>
  <si>
    <t>PRAZO EM MESES</t>
  </si>
  <si>
    <t>TOTAL INVESTIDO</t>
  </si>
  <si>
    <t>PATRIMÔNIO ACUMULADO</t>
  </si>
  <si>
    <t>DIVIDENDOS MENSAIS ESTIMADOS</t>
  </si>
  <si>
    <t>MAR INVEST — SIMULADOR DE INVESTIMENTOS</t>
  </si>
  <si>
    <t>DADOS DO INVESTIDOR</t>
  </si>
  <si>
    <t>PERFIL DE INVESTIDOR</t>
  </si>
  <si>
    <t>Conservador</t>
  </si>
  <si>
    <t>SALÁRIO MENSAL</t>
  </si>
  <si>
    <t>PRAZO DO INVESTIMENTO</t>
  </si>
  <si>
    <t>ANOS</t>
  </si>
  <si>
    <t>APORTE MENSAL</t>
  </si>
  <si>
    <t>RENDIMENTOS ACUMULADOS</t>
  </si>
  <si>
    <t>COMPOSIÇÃO DA CARTEIRA</t>
  </si>
  <si>
    <t>PERCENTUAL</t>
  </si>
  <si>
    <t>RENDIMENTO SOBRE O TOTAL INVESTIDO</t>
  </si>
  <si>
    <t>PROJEÇÃO DE INVESTIMENTO</t>
  </si>
  <si>
    <t>CENÁRIOS DE INVESTIMENTO</t>
  </si>
  <si>
    <t>DIVIDENDOS MENSAIS</t>
  </si>
  <si>
    <t>Quanto em 1 ano?</t>
  </si>
  <si>
    <t>Quanto em 3 anos?</t>
  </si>
  <si>
    <t>Quanto em 5 anos?</t>
  </si>
  <si>
    <t>Quanto em 7 anos?</t>
  </si>
  <si>
    <t>Quanto em 10 anos?</t>
  </si>
  <si>
    <t>VALOR MENSAL</t>
  </si>
  <si>
    <t>PERCENTUAL SUGERIDO PARA INVESTIMENTO</t>
  </si>
</sst>
</file>

<file path=xl/styles.xml><?xml version="1.0" encoding="utf-8"?>
<styleSheet xmlns="http://schemas.openxmlformats.org/spreadsheetml/2006/main">
  <numFmts count="2">
    <numFmt numFmtId="8" formatCode="&quot;R$&quot;\ #,##0.00;[Red]\-&quot;R$&quot;\ #,##0.00"/>
    <numFmt numFmtId="165" formatCode="&quot;R$&quot;\ #,##0.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9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8" fontId="0" fillId="0" borderId="0" xfId="0" applyNumberFormat="1"/>
    <xf numFmtId="0" fontId="3" fillId="2" borderId="0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0" fillId="5" borderId="0" xfId="0" applyFill="1"/>
    <xf numFmtId="0" fontId="6" fillId="5" borderId="0" xfId="0" applyFont="1" applyFill="1"/>
    <xf numFmtId="0" fontId="7" fillId="5" borderId="0" xfId="0" applyFont="1" applyFill="1"/>
    <xf numFmtId="0" fontId="6" fillId="6" borderId="0" xfId="0" applyFont="1" applyFill="1"/>
    <xf numFmtId="0" fontId="5" fillId="4" borderId="0" xfId="0" applyFont="1" applyFill="1"/>
    <xf numFmtId="0" fontId="0" fillId="3" borderId="0" xfId="0" applyFill="1"/>
    <xf numFmtId="0" fontId="0" fillId="3" borderId="0" xfId="0" applyFill="1" applyBorder="1"/>
    <xf numFmtId="8" fontId="6" fillId="5" borderId="0" xfId="0" applyNumberFormat="1" applyFont="1" applyFill="1"/>
    <xf numFmtId="165" fontId="6" fillId="5" borderId="0" xfId="0" applyNumberFormat="1" applyFont="1" applyFill="1"/>
    <xf numFmtId="165" fontId="6" fillId="3" borderId="0" xfId="0" applyNumberFormat="1" applyFont="1" applyFill="1"/>
    <xf numFmtId="165" fontId="1" fillId="4" borderId="0" xfId="0" applyNumberFormat="1" applyFont="1" applyFill="1"/>
    <xf numFmtId="9" fontId="1" fillId="4" borderId="0" xfId="1" applyFont="1" applyFill="1"/>
    <xf numFmtId="0" fontId="1" fillId="4" borderId="0" xfId="0" applyFont="1" applyFill="1" applyAlignment="1">
      <alignment horizontal="right"/>
    </xf>
    <xf numFmtId="0" fontId="1" fillId="4" borderId="1" xfId="0" applyFont="1" applyFill="1" applyBorder="1"/>
    <xf numFmtId="0" fontId="1" fillId="4" borderId="0" xfId="0" applyFont="1" applyFill="1"/>
    <xf numFmtId="9" fontId="6" fillId="5" borderId="0" xfId="1" applyFont="1" applyFill="1"/>
    <xf numFmtId="165" fontId="7" fillId="5" borderId="0" xfId="0" applyNumberFormat="1" applyFont="1" applyFill="1" applyAlignment="1">
      <alignment horizontal="left"/>
    </xf>
    <xf numFmtId="9" fontId="7" fillId="5" borderId="0" xfId="0" applyNumberFormat="1" applyFont="1" applyFill="1" applyAlignment="1">
      <alignment horizontal="left"/>
    </xf>
    <xf numFmtId="0" fontId="7" fillId="5" borderId="0" xfId="0" applyFont="1" applyFill="1" applyAlignment="1">
      <alignment horizontal="left"/>
    </xf>
    <xf numFmtId="10" fontId="6" fillId="5" borderId="0" xfId="1" applyNumberFormat="1" applyFont="1" applyFill="1"/>
    <xf numFmtId="0" fontId="6" fillId="6" borderId="0" xfId="0" applyFont="1" applyFill="1" applyBorder="1"/>
    <xf numFmtId="0" fontId="6" fillId="5" borderId="0" xfId="0" applyFont="1" applyFill="1" applyBorder="1"/>
    <xf numFmtId="165" fontId="6" fillId="6" borderId="0" xfId="0" applyNumberFormat="1" applyFont="1" applyFill="1" applyBorder="1"/>
    <xf numFmtId="165" fontId="6" fillId="6" borderId="0" xfId="0" applyNumberFormat="1" applyFont="1" applyFill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colors>
    <mruColors>
      <color rgb="FF003300"/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showGridLines="0" tabSelected="1" topLeftCell="A21" workbookViewId="0">
      <selection activeCell="F35" sqref="F35"/>
    </sheetView>
  </sheetViews>
  <sheetFormatPr defaultColWidth="0" defaultRowHeight="15"/>
  <cols>
    <col min="1" max="1" width="43.85546875" customWidth="1"/>
    <col min="2" max="2" width="20.5703125" customWidth="1"/>
    <col min="3" max="3" width="20.85546875" bestFit="1" customWidth="1"/>
    <col min="4" max="4" width="21.28515625" customWidth="1"/>
    <col min="5" max="5" width="16.42578125" customWidth="1"/>
    <col min="6" max="6" width="18.85546875" customWidth="1"/>
    <col min="9" max="16384" width="9.140625" hidden="1"/>
  </cols>
  <sheetData>
    <row r="1" spans="1:8" ht="23.25">
      <c r="A1" s="9" t="s">
        <v>45</v>
      </c>
      <c r="B1" s="9"/>
      <c r="C1" s="9"/>
      <c r="H1" s="36"/>
    </row>
    <row r="4" spans="1:8" ht="15.75">
      <c r="A4" s="10" t="s">
        <v>46</v>
      </c>
      <c r="B4" s="17"/>
      <c r="C4" s="17"/>
    </row>
    <row r="5" spans="1:8">
      <c r="A5" s="13" t="s">
        <v>47</v>
      </c>
      <c r="B5" s="14" t="s">
        <v>48</v>
      </c>
      <c r="C5" s="12"/>
      <c r="H5" s="37"/>
    </row>
    <row r="6" spans="1:8">
      <c r="A6" s="13" t="s">
        <v>49</v>
      </c>
      <c r="B6" s="28">
        <v>5000</v>
      </c>
      <c r="C6" s="12"/>
    </row>
    <row r="7" spans="1:8">
      <c r="A7" s="13" t="s">
        <v>66</v>
      </c>
      <c r="B7" s="29">
        <v>0.3</v>
      </c>
      <c r="C7" s="12"/>
    </row>
    <row r="8" spans="1:8">
      <c r="A8" s="13" t="s">
        <v>50</v>
      </c>
      <c r="B8" s="30">
        <v>10</v>
      </c>
      <c r="C8" s="14" t="s">
        <v>51</v>
      </c>
    </row>
    <row r="10" spans="1:8" ht="15.75">
      <c r="A10" s="10" t="s">
        <v>39</v>
      </c>
      <c r="B10" s="21">
        <v>200</v>
      </c>
      <c r="C10" s="17"/>
    </row>
    <row r="11" spans="1:8">
      <c r="A11" s="13" t="s">
        <v>41</v>
      </c>
      <c r="B11" s="13">
        <f>B8*12</f>
        <v>120</v>
      </c>
      <c r="C11" s="12"/>
    </row>
    <row r="12" spans="1:8">
      <c r="A12" s="13" t="s">
        <v>43</v>
      </c>
      <c r="B12" s="19">
        <f>FV('BASE DO SIMULADOR'!B40,B11,-B10,0,0)</f>
        <v>40043.493881983624</v>
      </c>
      <c r="C12" s="12"/>
      <c r="D12" s="8"/>
    </row>
    <row r="13" spans="1:8">
      <c r="A13" s="13" t="s">
        <v>42</v>
      </c>
      <c r="B13" s="20">
        <f>B10*B11</f>
        <v>24000</v>
      </c>
      <c r="C13" s="12"/>
      <c r="D13" s="8"/>
    </row>
    <row r="14" spans="1:8">
      <c r="A14" s="13" t="s">
        <v>53</v>
      </c>
      <c r="B14" s="19">
        <f>B12-B13</f>
        <v>16043.493881983624</v>
      </c>
      <c r="C14" s="12"/>
    </row>
    <row r="15" spans="1:8">
      <c r="A15" s="13" t="s">
        <v>44</v>
      </c>
      <c r="B15" s="19">
        <f>B12*'BASE DO SIMULADOR'!B41</f>
        <v>200.21746940991812</v>
      </c>
      <c r="C15" s="12"/>
    </row>
    <row r="17" spans="1:3" ht="15.75">
      <c r="A17" s="11" t="s">
        <v>54</v>
      </c>
      <c r="B17" s="17"/>
      <c r="C17" s="17"/>
    </row>
    <row r="18" spans="1:3">
      <c r="A18" s="26" t="s">
        <v>2</v>
      </c>
      <c r="B18" s="24" t="s">
        <v>55</v>
      </c>
      <c r="C18" s="25" t="s">
        <v>65</v>
      </c>
    </row>
    <row r="19" spans="1:3">
      <c r="A19" s="13" t="s">
        <v>6</v>
      </c>
      <c r="B19" s="27">
        <f>INDEX('BASE DO SIMULADOR'!$B$5:$D$10,MATCH(A19,'BASE DO SIMULADOR'!$A$5:$A$10,0),MATCH($B$5,'BASE DO SIMULADOR'!$B$4:$D$4,0))</f>
        <v>0.5</v>
      </c>
      <c r="C19" s="20">
        <f>B19*$B$10</f>
        <v>100</v>
      </c>
    </row>
    <row r="20" spans="1:3">
      <c r="A20" s="13" t="s">
        <v>12</v>
      </c>
      <c r="B20" s="27">
        <f>INDEX('BASE DO SIMULADOR'!$B$5:$D$10,MATCH(A20,'BASE DO SIMULADOR'!$A$5:$A$10,0),MATCH($B$5,'BASE DO SIMULADOR'!$B$4:$D$4,0))</f>
        <v>0.3</v>
      </c>
      <c r="C20" s="20">
        <f t="shared" ref="C20:C24" si="0">B20*$B$10</f>
        <v>60</v>
      </c>
    </row>
    <row r="21" spans="1:3">
      <c r="A21" s="13" t="s">
        <v>7</v>
      </c>
      <c r="B21" s="27">
        <f>INDEX('BASE DO SIMULADOR'!$B$5:$D$10,MATCH(A21,'BASE DO SIMULADOR'!$A$5:$A$10,0),MATCH($B$5,'BASE DO SIMULADOR'!$B$4:$D$4,0))</f>
        <v>0.2</v>
      </c>
      <c r="C21" s="20">
        <f t="shared" si="0"/>
        <v>40</v>
      </c>
    </row>
    <row r="22" spans="1:3">
      <c r="A22" s="13" t="s">
        <v>8</v>
      </c>
      <c r="B22" s="27">
        <f>INDEX('BASE DO SIMULADOR'!$B$5:$D$10,MATCH(A22,'BASE DO SIMULADOR'!$A$5:$A$10,0),MATCH($B$5,'BASE DO SIMULADOR'!$B$4:$D$4,0))</f>
        <v>0</v>
      </c>
      <c r="C22" s="20">
        <f t="shared" si="0"/>
        <v>0</v>
      </c>
    </row>
    <row r="23" spans="1:3">
      <c r="A23" s="13" t="s">
        <v>9</v>
      </c>
      <c r="B23" s="27">
        <f>INDEX('BASE DO SIMULADOR'!$B$5:$D$10,MATCH(A23,'BASE DO SIMULADOR'!$A$5:$A$10,0),MATCH($B$5,'BASE DO SIMULADOR'!$B$4:$D$4,0))</f>
        <v>0</v>
      </c>
      <c r="C23" s="20">
        <f t="shared" si="0"/>
        <v>0</v>
      </c>
    </row>
    <row r="24" spans="1:3">
      <c r="A24" s="13" t="s">
        <v>10</v>
      </c>
      <c r="B24" s="27">
        <f>INDEX('BASE DO SIMULADOR'!$B$5:$D$10,MATCH(A24,'BASE DO SIMULADOR'!$A$5:$A$10,0),MATCH($B$5,'BASE DO SIMULADOR'!$B$4:$D$4,0))</f>
        <v>0</v>
      </c>
      <c r="C24" s="20">
        <f t="shared" si="0"/>
        <v>0</v>
      </c>
    </row>
    <row r="25" spans="1:3">
      <c r="A25" s="16" t="s">
        <v>11</v>
      </c>
      <c r="B25" s="23">
        <f>SUM(B19:B24)</f>
        <v>1</v>
      </c>
      <c r="C25" s="22">
        <f>SUM(C19:C24)</f>
        <v>200</v>
      </c>
    </row>
    <row r="28" spans="1:3" ht="15.75">
      <c r="A28" s="11" t="s">
        <v>57</v>
      </c>
      <c r="B28" s="17"/>
      <c r="C28" s="17"/>
    </row>
    <row r="29" spans="1:3">
      <c r="A29" s="13" t="s">
        <v>52</v>
      </c>
      <c r="B29" s="20">
        <f>B10</f>
        <v>200</v>
      </c>
      <c r="C29" s="12"/>
    </row>
    <row r="30" spans="1:3">
      <c r="A30" s="13" t="s">
        <v>42</v>
      </c>
      <c r="B30" s="20">
        <f>B13</f>
        <v>24000</v>
      </c>
      <c r="C30" s="12"/>
    </row>
    <row r="31" spans="1:3">
      <c r="A31" s="13" t="s">
        <v>53</v>
      </c>
      <c r="B31" s="19">
        <f>B14</f>
        <v>16043.493881983624</v>
      </c>
      <c r="C31" s="12"/>
    </row>
    <row r="32" spans="1:3">
      <c r="A32" s="13" t="s">
        <v>43</v>
      </c>
      <c r="B32" s="19">
        <f>B12</f>
        <v>40043.493881983624</v>
      </c>
      <c r="C32" s="12"/>
    </row>
    <row r="33" spans="1:3">
      <c r="A33" s="13" t="s">
        <v>44</v>
      </c>
      <c r="B33" s="19">
        <f>B15</f>
        <v>200.21746940991812</v>
      </c>
      <c r="C33" s="12"/>
    </row>
    <row r="34" spans="1:3">
      <c r="A34" s="13" t="s">
        <v>56</v>
      </c>
      <c r="B34" s="31">
        <f>B14/B13</f>
        <v>0.66847891174931773</v>
      </c>
      <c r="C34" s="12"/>
    </row>
    <row r="36" spans="1:3" ht="15.75">
      <c r="A36" s="10" t="s">
        <v>58</v>
      </c>
      <c r="B36" s="18"/>
      <c r="C36" s="17"/>
    </row>
    <row r="37" spans="1:3">
      <c r="A37" s="13" t="s">
        <v>20</v>
      </c>
      <c r="B37" s="33" t="s">
        <v>42</v>
      </c>
      <c r="C37" s="13" t="s">
        <v>59</v>
      </c>
    </row>
    <row r="38" spans="1:3">
      <c r="A38" s="32" t="s">
        <v>60</v>
      </c>
      <c r="B38" s="34">
        <f>B10*'BASE DO SIMULADOR'!C30</f>
        <v>2400</v>
      </c>
      <c r="C38" s="35">
        <f>FV('BASE DO SIMULADOR'!B40,'BASE DO SIMULADOR'!C30,-B10,0,0)*'BASE DO SIMULADOR'!B41</f>
        <v>12.542336714518376</v>
      </c>
    </row>
    <row r="39" spans="1:3">
      <c r="A39" s="32" t="s">
        <v>61</v>
      </c>
      <c r="B39" s="34">
        <f>B10*'BASE DO SIMULADOR'!C31</f>
        <v>7200</v>
      </c>
      <c r="C39" s="35">
        <f>FV('BASE DO SIMULADOR'!B40,'BASE DO SIMULADOR'!C31,-B10,0,0)*'BASE DO SIMULADOR'!B41</f>
        <v>41.528729597849505</v>
      </c>
    </row>
    <row r="40" spans="1:3">
      <c r="A40" s="15" t="s">
        <v>62</v>
      </c>
      <c r="B40" s="35">
        <f>B10*'BASE DO SIMULADOR'!C32</f>
        <v>12000</v>
      </c>
      <c r="C40" s="35">
        <f>FV('BASE DO SIMULADOR'!B40,'BASE DO SIMULADOR'!C32,-B10,0,0)*'BASE DO SIMULADOR'!B41</f>
        <v>76.623866831880221</v>
      </c>
    </row>
    <row r="41" spans="1:3">
      <c r="A41" s="15" t="s">
        <v>63</v>
      </c>
      <c r="B41" s="35">
        <f>B10*'BASE DO SIMULADOR'!C33</f>
        <v>16800</v>
      </c>
      <c r="C41" s="35">
        <f>FV('BASE DO SIMULADOR'!B40,'BASE DO SIMULADOR'!C33,-B10,0,0)*'BASE DO SIMULADOR'!B41</f>
        <v>119.11513721632768</v>
      </c>
    </row>
    <row r="42" spans="1:3">
      <c r="A42" s="15" t="s">
        <v>64</v>
      </c>
      <c r="B42" s="35">
        <f>B10*'BASE DO SIMULADOR'!C34</f>
        <v>24000</v>
      </c>
      <c r="C42" s="35">
        <f>FV('BASE DO SIMULADOR'!B40,'BASE DO SIMULADOR'!C34,-B10,0,0)*'BASE DO SIMULADOR'!B41</f>
        <v>200.21746940991812</v>
      </c>
    </row>
  </sheetData>
  <mergeCells count="1">
    <mergeCell ref="A1:C1"/>
  </mergeCells>
  <dataValidations count="1">
    <dataValidation type="list" allowBlank="1" showInputMessage="1" showErrorMessage="1" sqref="B5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"/>
  <sheetViews>
    <sheetView topLeftCell="A21" workbookViewId="0">
      <selection activeCell="A21" sqref="A21"/>
    </sheetView>
  </sheetViews>
  <sheetFormatPr defaultRowHeight="15"/>
  <cols>
    <col min="1" max="1" width="49.7109375" customWidth="1"/>
    <col min="2" max="2" width="19.7109375" bestFit="1" customWidth="1"/>
    <col min="3" max="3" width="17" customWidth="1"/>
    <col min="4" max="4" width="14.28515625" customWidth="1"/>
    <col min="5" max="5" width="35.140625" customWidth="1"/>
  </cols>
  <sheetData>
    <row r="1" spans="1:9">
      <c r="A1" t="s">
        <v>0</v>
      </c>
    </row>
    <row r="3" spans="1:9">
      <c r="A3" t="s">
        <v>1</v>
      </c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G4" s="4"/>
      <c r="H4" s="4"/>
    </row>
    <row r="5" spans="1:9">
      <c r="A5" t="s">
        <v>6</v>
      </c>
      <c r="B5" s="3">
        <v>0.5</v>
      </c>
      <c r="C5" s="3">
        <v>0.3</v>
      </c>
      <c r="D5" s="3">
        <v>0.15</v>
      </c>
      <c r="G5" s="1"/>
      <c r="H5" s="3"/>
      <c r="I5" s="3"/>
    </row>
    <row r="6" spans="1:9">
      <c r="A6" t="s">
        <v>12</v>
      </c>
      <c r="B6" s="3">
        <v>0.3</v>
      </c>
      <c r="C6" s="3">
        <v>0.25</v>
      </c>
      <c r="D6" s="3">
        <v>0.25</v>
      </c>
      <c r="G6" s="1"/>
      <c r="I6" s="3"/>
    </row>
    <row r="7" spans="1:9">
      <c r="A7" t="s">
        <v>7</v>
      </c>
      <c r="B7" s="3">
        <v>0.2</v>
      </c>
      <c r="C7" s="3">
        <v>0.2</v>
      </c>
      <c r="D7" s="3">
        <v>0.2</v>
      </c>
      <c r="G7" s="1"/>
      <c r="I7" s="3"/>
    </row>
    <row r="8" spans="1:9">
      <c r="A8" t="s">
        <v>8</v>
      </c>
      <c r="B8" s="3">
        <v>0</v>
      </c>
      <c r="C8" s="3">
        <v>0.1</v>
      </c>
      <c r="D8" s="3">
        <v>0.15</v>
      </c>
      <c r="G8" s="1"/>
      <c r="H8" s="3"/>
      <c r="I8" s="3"/>
    </row>
    <row r="9" spans="1:9">
      <c r="A9" t="s">
        <v>9</v>
      </c>
      <c r="B9" s="3">
        <v>0</v>
      </c>
      <c r="C9" s="3">
        <v>0.05</v>
      </c>
      <c r="D9" s="3">
        <v>0.1</v>
      </c>
      <c r="G9" s="1"/>
      <c r="I9" s="3"/>
    </row>
    <row r="10" spans="1:9">
      <c r="A10" t="s">
        <v>10</v>
      </c>
      <c r="B10" s="3">
        <v>0</v>
      </c>
      <c r="C10" s="3">
        <v>0.1</v>
      </c>
      <c r="D10" s="3">
        <v>0.15</v>
      </c>
      <c r="G10" s="1"/>
      <c r="I10" s="3"/>
    </row>
    <row r="11" spans="1:9">
      <c r="A11" t="s">
        <v>11</v>
      </c>
      <c r="B11" s="2">
        <f>SUM(B5:B10)</f>
        <v>1</v>
      </c>
      <c r="C11" s="2">
        <f>SUM(D5:D10)</f>
        <v>1</v>
      </c>
      <c r="D11" s="2">
        <f>SUM(D5:D10)</f>
        <v>1</v>
      </c>
      <c r="G11" s="1"/>
      <c r="I11" s="3"/>
    </row>
    <row r="12" spans="1:9">
      <c r="B12" s="3"/>
      <c r="G12" s="1"/>
      <c r="I12" s="3"/>
    </row>
    <row r="13" spans="1:9">
      <c r="B13" s="3"/>
      <c r="G13" s="1"/>
      <c r="I13" s="3"/>
    </row>
    <row r="14" spans="1:9">
      <c r="A14" t="s">
        <v>13</v>
      </c>
      <c r="B14" s="3"/>
      <c r="G14" s="1"/>
      <c r="I14" s="3"/>
    </row>
    <row r="15" spans="1:9">
      <c r="A15" t="s">
        <v>2</v>
      </c>
      <c r="B15" t="s">
        <v>14</v>
      </c>
      <c r="G15" s="1"/>
      <c r="I15" s="3"/>
    </row>
    <row r="16" spans="1:9">
      <c r="A16" s="1" t="s">
        <v>6</v>
      </c>
      <c r="B16" s="1">
        <v>1</v>
      </c>
      <c r="G16" s="1"/>
      <c r="I16" s="3"/>
    </row>
    <row r="17" spans="1:9">
      <c r="A17" s="1" t="s">
        <v>12</v>
      </c>
      <c r="B17" s="1">
        <v>2</v>
      </c>
      <c r="G17" s="1"/>
      <c r="I17" s="3"/>
    </row>
    <row r="18" spans="1:9">
      <c r="A18" s="1" t="s">
        <v>7</v>
      </c>
      <c r="B18" s="1">
        <v>2</v>
      </c>
      <c r="G18" s="1"/>
      <c r="I18" s="3"/>
    </row>
    <row r="19" spans="1:9">
      <c r="A19" s="1" t="s">
        <v>8</v>
      </c>
      <c r="B19" s="1">
        <v>2</v>
      </c>
      <c r="G19" s="1"/>
      <c r="I19" s="3"/>
    </row>
    <row r="20" spans="1:9">
      <c r="A20" s="1" t="s">
        <v>9</v>
      </c>
      <c r="B20" s="1">
        <v>3</v>
      </c>
      <c r="G20" s="1"/>
      <c r="I20" s="3"/>
    </row>
    <row r="21" spans="1:9">
      <c r="A21" s="1" t="s">
        <v>10</v>
      </c>
      <c r="B21" s="1">
        <v>3</v>
      </c>
      <c r="G21" s="1"/>
      <c r="I21" s="3"/>
    </row>
    <row r="22" spans="1:9">
      <c r="B22" s="3"/>
      <c r="G22" s="1"/>
    </row>
    <row r="23" spans="1:9">
      <c r="A23" t="s">
        <v>15</v>
      </c>
    </row>
    <row r="24" spans="1:9">
      <c r="A24" t="s">
        <v>16</v>
      </c>
    </row>
    <row r="25" spans="1:9">
      <c r="A25" t="s">
        <v>17</v>
      </c>
    </row>
    <row r="28" spans="1:9">
      <c r="A28" t="s">
        <v>18</v>
      </c>
    </row>
    <row r="29" spans="1:9">
      <c r="A29" t="s">
        <v>20</v>
      </c>
      <c r="B29" t="s">
        <v>19</v>
      </c>
      <c r="C29" t="s">
        <v>21</v>
      </c>
    </row>
    <row r="30" spans="1:9">
      <c r="A30" s="1" t="s">
        <v>22</v>
      </c>
      <c r="B30" s="1">
        <v>1</v>
      </c>
      <c r="C30" s="1">
        <v>12</v>
      </c>
    </row>
    <row r="31" spans="1:9">
      <c r="A31" s="1" t="s">
        <v>23</v>
      </c>
      <c r="B31" s="1">
        <v>3</v>
      </c>
      <c r="C31" s="1">
        <v>36</v>
      </c>
    </row>
    <row r="32" spans="1:9">
      <c r="A32" s="1" t="s">
        <v>24</v>
      </c>
      <c r="B32" s="1">
        <v>5</v>
      </c>
      <c r="C32" s="1">
        <v>60</v>
      </c>
    </row>
    <row r="33" spans="1:3">
      <c r="A33" s="1" t="s">
        <v>25</v>
      </c>
      <c r="B33" s="1">
        <v>7</v>
      </c>
      <c r="C33" s="1">
        <v>84</v>
      </c>
    </row>
    <row r="34" spans="1:3">
      <c r="A34" s="1" t="s">
        <v>26</v>
      </c>
      <c r="B34" s="1">
        <v>10</v>
      </c>
      <c r="C34" s="1">
        <v>120</v>
      </c>
    </row>
    <row r="37" spans="1:3">
      <c r="A37" t="s">
        <v>27</v>
      </c>
    </row>
    <row r="38" spans="1:3">
      <c r="A38" t="s">
        <v>28</v>
      </c>
      <c r="B38" t="s">
        <v>29</v>
      </c>
    </row>
    <row r="39" spans="1:3">
      <c r="A39" t="s">
        <v>30</v>
      </c>
      <c r="B39" s="5">
        <v>0.3</v>
      </c>
    </row>
    <row r="40" spans="1:3">
      <c r="A40" t="s">
        <v>37</v>
      </c>
      <c r="B40" s="7">
        <v>8.0000000000000002E-3</v>
      </c>
    </row>
    <row r="41" spans="1:3">
      <c r="A41" t="s">
        <v>31</v>
      </c>
      <c r="B41" s="7">
        <v>5.0000000000000001E-3</v>
      </c>
    </row>
    <row r="42" spans="1:3">
      <c r="A42" t="s">
        <v>32</v>
      </c>
      <c r="B42" t="s">
        <v>33</v>
      </c>
    </row>
    <row r="45" spans="1:3">
      <c r="A45" t="s">
        <v>34</v>
      </c>
    </row>
    <row r="46" spans="1:3">
      <c r="A46" t="s">
        <v>35</v>
      </c>
    </row>
    <row r="47" spans="1:3">
      <c r="A47" t="s">
        <v>36</v>
      </c>
    </row>
    <row r="50" spans="1:5">
      <c r="A50" t="s">
        <v>38</v>
      </c>
    </row>
    <row r="51" spans="1:5">
      <c r="A51" t="s">
        <v>28</v>
      </c>
      <c r="B51" t="s">
        <v>29</v>
      </c>
    </row>
    <row r="52" spans="1:5">
      <c r="A52" s="1" t="s">
        <v>39</v>
      </c>
      <c r="B52">
        <v>200</v>
      </c>
      <c r="D52" s="4"/>
      <c r="E52" s="4"/>
    </row>
    <row r="53" spans="1:5">
      <c r="A53" s="1" t="s">
        <v>40</v>
      </c>
      <c r="B53">
        <v>10</v>
      </c>
      <c r="D53" s="1"/>
    </row>
    <row r="54" spans="1:5">
      <c r="A54" s="1" t="s">
        <v>41</v>
      </c>
      <c r="B54">
        <f>B53*12</f>
        <v>120</v>
      </c>
      <c r="D54" s="1"/>
    </row>
    <row r="55" spans="1:5">
      <c r="A55" s="1" t="s">
        <v>37</v>
      </c>
      <c r="B55" s="6">
        <f>B40</f>
        <v>8.0000000000000002E-3</v>
      </c>
      <c r="D55" s="1"/>
    </row>
    <row r="56" spans="1:5">
      <c r="A56" s="1" t="s">
        <v>42</v>
      </c>
      <c r="D56" s="1"/>
    </row>
    <row r="57" spans="1:5">
      <c r="A57" s="1" t="s">
        <v>43</v>
      </c>
      <c r="B57" s="8">
        <f>-FV(B55,B54,B52,0,0)</f>
        <v>40043.493881983624</v>
      </c>
      <c r="D57" s="1"/>
    </row>
    <row r="58" spans="1:5">
      <c r="A58" s="1" t="s">
        <v>44</v>
      </c>
      <c r="B58">
        <f>B57*B41</f>
        <v>200.21746940991812</v>
      </c>
      <c r="D58">
        <f>B57*B41</f>
        <v>200.21746940991812</v>
      </c>
    </row>
    <row r="59" spans="1:5">
      <c r="D59" s="1"/>
    </row>
    <row r="60" spans="1:5">
      <c r="D60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MAR INVEST</vt:lpstr>
      <vt:lpstr>BASE DO SIMULADOR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2026-08-19T19:20:33Z</dcterms:created>
  <dcterms:modified xsi:type="dcterms:W3CDTF">2026-08-25T06:22:09Z</dcterms:modified>
</cp:coreProperties>
</file>